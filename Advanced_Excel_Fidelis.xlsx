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 Fundamentals" sheetId="1" r:id="rId4"/>
    <sheet state="visible" name="Tax Rate" sheetId="2" r:id="rId5"/>
    <sheet state="visible" name="Order of Operations" sheetId="3" r:id="rId6"/>
    <sheet state="visible" name="Basic Functions" sheetId="4" r:id="rId7"/>
    <sheet state="visible" name="Conditional Functions" sheetId="5" r:id="rId8"/>
    <sheet state="visible" name="Text Functions" sheetId="6" r:id="rId9"/>
    <sheet state="visible" name="Logical Functions" sheetId="7" r:id="rId10"/>
    <sheet state="visible" name="Lookup Functions" sheetId="8" r:id="rId11"/>
    <sheet state="visible" name="Date &amp; Time" sheetId="9" r:id="rId12"/>
    <sheet state="visible" name="Bonus" sheetId="10" r:id="rId13"/>
  </sheets>
  <definedNames/>
  <calcPr/>
</workbook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<sst xmlns="http://schemas.openxmlformats.org/spreadsheetml/2006/main" count="150" uniqueCount="73">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</sst>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1.0"/>
      <name val="Calibri"/>
    </font>
    <font>
      <sz val="11.0"/>
      <name val="Calibri"/>
    </font>
    <font/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0" xfId="0" applyAlignment="1" applyFont="1">
      <alignment horizontal="left" vertical="center"/>
    </xf>
    <xf borderId="0" fillId="0" fontId="2" numFmtId="4" xfId="0" applyFont="1" applyNumberForma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2" numFmtId="14" xfId="0" applyFont="1" applyNumberForma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sue@kevincookiecompany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7.0"/>
    <col customWidth="1" min="3" max="3" width="16.86"/>
    <col customWidth="1" min="4" max="4" width="12.43"/>
    <col customWidth="1" min="5" max="5" width="8.71"/>
    <col customWidth="1" min="6" max="6" width="2.29"/>
    <col customWidth="1" min="7" max="7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G1" s="1" t="s">
        <v>4</v>
      </c>
    </row>
    <row r="2">
      <c r="A2" s="1" t="s">
        <v>5</v>
      </c>
      <c r="B2">
        <v>10.0</v>
      </c>
      <c r="C2">
        <v>8.0</v>
      </c>
      <c r="D2">
        <v>5.0</v>
      </c>
      <c r="E2" t="str">
        <f t="shared" ref="E2:E5" si="1">SUM(B2:D2)</f>
        <v>23</v>
      </c>
      <c r="G2" s="2">
        <v>0.1</v>
      </c>
    </row>
    <row r="3">
      <c r="A3" s="1" t="s">
        <v>6</v>
      </c>
      <c r="B3">
        <v>4.0</v>
      </c>
      <c r="C3">
        <v>3.0</v>
      </c>
      <c r="D3">
        <v>2.0</v>
      </c>
      <c r="E3" t="str">
        <f t="shared" si="1"/>
        <v>9</v>
      </c>
    </row>
    <row r="4">
      <c r="A4" s="1" t="s">
        <v>7</v>
      </c>
      <c r="B4" t="str">
        <f t="shared" ref="B4:D4" si="2">B2-B3</f>
        <v>6</v>
      </c>
      <c r="C4" t="str">
        <f t="shared" si="2"/>
        <v>5</v>
      </c>
      <c r="D4" t="str">
        <f t="shared" si="2"/>
        <v>3</v>
      </c>
      <c r="E4" t="str">
        <f t="shared" si="1"/>
        <v>14</v>
      </c>
    </row>
    <row r="5">
      <c r="A5" s="1" t="s">
        <v>8</v>
      </c>
      <c r="B5" t="str">
        <f t="shared" ref="B5:D5" si="3">B4*$G$2</f>
        <v>0.6</v>
      </c>
      <c r="C5" t="str">
        <f t="shared" si="3"/>
        <v>0.5</v>
      </c>
      <c r="D5" t="str">
        <f t="shared" si="3"/>
        <v>0.3</v>
      </c>
      <c r="E5" t="str">
        <f t="shared" si="1"/>
        <v>1.4</v>
      </c>
    </row>
    <row r="6">
      <c r="A6" s="1"/>
      <c r="C6" s="3"/>
    </row>
    <row r="7">
      <c r="C7" s="3"/>
    </row>
    <row r="8">
      <c r="C8" s="3"/>
    </row>
    <row r="9">
      <c r="A9" s="1" t="s">
        <v>9</v>
      </c>
      <c r="B9" t="str">
        <f>E4/2</f>
        <v>7</v>
      </c>
      <c r="C9" s="3"/>
      <c r="D9" s="4"/>
    </row>
    <row r="10">
      <c r="A10" s="5"/>
      <c r="C10" s="3"/>
      <c r="D10" s="4"/>
    </row>
    <row r="11">
      <c r="A11" s="5"/>
      <c r="C11" s="3"/>
    </row>
    <row r="12">
      <c r="C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4</v>
      </c>
    </row>
    <row r="2">
      <c r="A2" s="2">
        <v>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6" width="8.71"/>
  </cols>
  <sheetData>
    <row r="1">
      <c r="B1" s="1" t="s">
        <v>0</v>
      </c>
      <c r="D1" s="1" t="s">
        <v>4</v>
      </c>
    </row>
    <row r="2">
      <c r="A2" s="1" t="s">
        <v>5</v>
      </c>
      <c r="B2">
        <v>10.0</v>
      </c>
      <c r="D2" s="2">
        <v>0.1</v>
      </c>
    </row>
    <row r="3">
      <c r="A3" s="1" t="s">
        <v>6</v>
      </c>
      <c r="B3">
        <v>4.0</v>
      </c>
    </row>
    <row r="4">
      <c r="A4" s="1" t="s">
        <v>7</v>
      </c>
      <c r="B4" t="str">
        <f>B2-B3</f>
        <v>6</v>
      </c>
    </row>
    <row r="5">
      <c r="A5" s="1" t="s">
        <v>8</v>
      </c>
      <c r="B5" t="str">
        <f>(B2-B3)*D2</f>
        <v>0.6</v>
      </c>
    </row>
    <row r="7">
      <c r="A7" s="6" t="s">
        <v>10</v>
      </c>
    </row>
    <row r="8">
      <c r="A8" s="6" t="s">
        <v>11</v>
      </c>
    </row>
    <row r="9">
      <c r="A9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29"/>
    <col customWidth="1" min="3" max="3" width="3.14"/>
    <col customWidth="1" min="4" max="4" width="28.29"/>
    <col customWidth="1" min="5" max="5" width="12.0"/>
    <col customWidth="1" min="6" max="6" width="8.71"/>
  </cols>
  <sheetData>
    <row r="1">
      <c r="A1" s="1" t="s">
        <v>13</v>
      </c>
      <c r="B1" s="1" t="s">
        <v>14</v>
      </c>
    </row>
    <row r="2">
      <c r="A2" t="s">
        <v>0</v>
      </c>
      <c r="B2">
        <v>97.0</v>
      </c>
      <c r="D2" t="s">
        <v>15</v>
      </c>
      <c r="E2" t="str">
        <f>SUM(B2:B8)</f>
        <v>421</v>
      </c>
    </row>
    <row r="3">
      <c r="A3" t="s">
        <v>1</v>
      </c>
      <c r="B3">
        <v>77.0</v>
      </c>
      <c r="D3" t="s">
        <v>16</v>
      </c>
      <c r="E3" t="str">
        <f>MAX(B2:B8)</f>
        <v>97</v>
      </c>
    </row>
    <row r="4">
      <c r="A4" t="s">
        <v>2</v>
      </c>
      <c r="B4">
        <v>67.0</v>
      </c>
      <c r="D4" t="s">
        <v>17</v>
      </c>
      <c r="E4" t="str">
        <f>MIN(B2:B8)</f>
        <v>36</v>
      </c>
    </row>
    <row r="5">
      <c r="A5" t="s">
        <v>18</v>
      </c>
      <c r="B5">
        <v>52.0</v>
      </c>
      <c r="D5" t="s">
        <v>19</v>
      </c>
      <c r="E5" t="str">
        <f>large(B2:B8, 2)</f>
        <v>77</v>
      </c>
    </row>
    <row r="6">
      <c r="A6" t="s">
        <v>20</v>
      </c>
      <c r="B6">
        <v>52.0</v>
      </c>
      <c r="D6" t="s">
        <v>21</v>
      </c>
      <c r="E6" t="str">
        <f>small(B2:B8, 2)</f>
        <v>40</v>
      </c>
    </row>
    <row r="7">
      <c r="A7" t="s">
        <v>22</v>
      </c>
      <c r="B7">
        <v>40.0</v>
      </c>
      <c r="D7" t="s">
        <v>23</v>
      </c>
      <c r="E7" t="str">
        <f>COUNT(B2:B8)</f>
        <v>7</v>
      </c>
    </row>
    <row r="8">
      <c r="A8" t="s">
        <v>24</v>
      </c>
      <c r="B8">
        <v>36.0</v>
      </c>
      <c r="E8" t="str">
        <f>COUNTA(A2:A8)</f>
        <v>7</v>
      </c>
    </row>
    <row r="9">
      <c r="E9" t="str">
        <f>COUNTBLANK(A2:A8)</f>
        <v>0</v>
      </c>
    </row>
    <row r="10">
      <c r="D10" t="s">
        <v>25</v>
      </c>
      <c r="E10" t="str">
        <f>AVERAGE(B2:B8)</f>
        <v>60.14285714</v>
      </c>
    </row>
    <row r="11">
      <c r="D11" t="s">
        <v>26</v>
      </c>
      <c r="E11" t="str">
        <f>MEDIAN(B2:B8)</f>
        <v>52</v>
      </c>
    </row>
    <row r="12">
      <c r="D12" t="s">
        <v>27</v>
      </c>
      <c r="E12" t="str">
        <f>MODE(B2:B8)</f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2.29"/>
    <col customWidth="1" min="4" max="4" width="8.71"/>
    <col customWidth="1" min="5" max="5" width="12.43"/>
    <col customWidth="1" min="6" max="6" width="8.71"/>
  </cols>
  <sheetData>
    <row r="1">
      <c r="A1" s="1" t="s">
        <v>13</v>
      </c>
      <c r="B1" s="1" t="s">
        <v>28</v>
      </c>
      <c r="C1" s="1" t="s">
        <v>14</v>
      </c>
    </row>
    <row r="2">
      <c r="A2" t="s">
        <v>0</v>
      </c>
      <c r="B2" t="s">
        <v>29</v>
      </c>
      <c r="C2">
        <v>28.0</v>
      </c>
      <c r="E2" t="s">
        <v>30</v>
      </c>
      <c r="F2" t="str">
        <f>SUMIF(B:B,B2,C:C)</f>
        <v>362</v>
      </c>
      <c r="G2" t="str">
        <f>SUMIF(B:B,"United States",C:C)</f>
        <v>362</v>
      </c>
      <c r="H2" t="str">
        <f>SUMIF(B:B,"*s",C:C)</f>
        <v>802</v>
      </c>
    </row>
    <row r="3">
      <c r="A3" t="s">
        <v>1</v>
      </c>
      <c r="B3" t="s">
        <v>29</v>
      </c>
      <c r="C3">
        <v>32.0</v>
      </c>
      <c r="E3" t="s">
        <v>31</v>
      </c>
      <c r="F3" t="str">
        <f>SUMIFS(C:C,B:B,B2,A:A,A2)</f>
        <v>28</v>
      </c>
      <c r="G3" t="str">
        <f>SUMIFS(C:C,B:B,B2,A:A,A2:A3)</f>
        <v>32</v>
      </c>
    </row>
    <row r="4">
      <c r="A4" t="s">
        <v>2</v>
      </c>
      <c r="B4" t="s">
        <v>29</v>
      </c>
      <c r="C4">
        <v>52.0</v>
      </c>
    </row>
    <row r="5">
      <c r="A5" t="s">
        <v>18</v>
      </c>
      <c r="B5" t="s">
        <v>29</v>
      </c>
      <c r="C5">
        <v>67.0</v>
      </c>
    </row>
    <row r="6">
      <c r="A6" t="s">
        <v>20</v>
      </c>
      <c r="B6" t="s">
        <v>29</v>
      </c>
      <c r="C6">
        <v>44.0</v>
      </c>
    </row>
    <row r="7">
      <c r="A7" t="s">
        <v>22</v>
      </c>
      <c r="B7" t="s">
        <v>29</v>
      </c>
      <c r="C7">
        <v>39.0</v>
      </c>
      <c r="E7" t="s">
        <v>32</v>
      </c>
      <c r="F7" t="str">
        <f>AVERAGEIF(B:B,B2,C:C)</f>
        <v>51.71428571</v>
      </c>
    </row>
    <row r="8">
      <c r="A8" t="s">
        <v>24</v>
      </c>
      <c r="B8" t="s">
        <v>29</v>
      </c>
      <c r="C8">
        <v>100.0</v>
      </c>
      <c r="E8" t="s">
        <v>33</v>
      </c>
    </row>
    <row r="9">
      <c r="A9" t="s">
        <v>0</v>
      </c>
      <c r="B9" t="s">
        <v>34</v>
      </c>
      <c r="C9">
        <v>75.0</v>
      </c>
      <c r="E9" t="s">
        <v>35</v>
      </c>
    </row>
    <row r="10">
      <c r="A10" t="s">
        <v>1</v>
      </c>
      <c r="B10" t="s">
        <v>34</v>
      </c>
      <c r="C10">
        <v>32.0</v>
      </c>
      <c r="E10" t="s">
        <v>36</v>
      </c>
    </row>
    <row r="11">
      <c r="A11" t="s">
        <v>2</v>
      </c>
      <c r="B11" t="s">
        <v>34</v>
      </c>
      <c r="C11">
        <v>40.0</v>
      </c>
      <c r="E11" t="s">
        <v>37</v>
      </c>
    </row>
    <row r="12">
      <c r="A12" t="s">
        <v>18</v>
      </c>
      <c r="B12" t="s">
        <v>34</v>
      </c>
      <c r="C12">
        <v>21.0</v>
      </c>
      <c r="E12" t="s">
        <v>38</v>
      </c>
    </row>
    <row r="13">
      <c r="A13" t="s">
        <v>20</v>
      </c>
      <c r="B13" t="s">
        <v>34</v>
      </c>
      <c r="C13">
        <v>58.0</v>
      </c>
    </row>
    <row r="14">
      <c r="A14" t="s">
        <v>22</v>
      </c>
      <c r="B14" t="s">
        <v>34</v>
      </c>
      <c r="C14">
        <v>21.0</v>
      </c>
    </row>
    <row r="15">
      <c r="A15" t="s">
        <v>24</v>
      </c>
      <c r="B15" t="s">
        <v>34</v>
      </c>
      <c r="C15">
        <v>54.0</v>
      </c>
    </row>
    <row r="16">
      <c r="A16" t="s">
        <v>0</v>
      </c>
      <c r="B16" t="s">
        <v>39</v>
      </c>
      <c r="C16">
        <v>55.0</v>
      </c>
    </row>
    <row r="17">
      <c r="A17" t="s">
        <v>1</v>
      </c>
      <c r="B17" t="s">
        <v>39</v>
      </c>
      <c r="C17">
        <v>41.0</v>
      </c>
    </row>
    <row r="18">
      <c r="A18" t="s">
        <v>2</v>
      </c>
      <c r="B18" t="s">
        <v>39</v>
      </c>
      <c r="C18">
        <v>92.0</v>
      </c>
    </row>
    <row r="19">
      <c r="A19" t="s">
        <v>18</v>
      </c>
      <c r="B19" t="s">
        <v>39</v>
      </c>
      <c r="C19">
        <v>89.0</v>
      </c>
    </row>
    <row r="20">
      <c r="A20" t="s">
        <v>20</v>
      </c>
      <c r="B20" t="s">
        <v>39</v>
      </c>
      <c r="C20">
        <v>34.0</v>
      </c>
    </row>
    <row r="21" ht="15.75" customHeight="1">
      <c r="A21" t="s">
        <v>22</v>
      </c>
      <c r="B21" t="s">
        <v>39</v>
      </c>
      <c r="C21">
        <v>29.0</v>
      </c>
    </row>
    <row r="22" ht="15.75" customHeight="1">
      <c r="A22" t="s">
        <v>24</v>
      </c>
      <c r="B22" t="s">
        <v>39</v>
      </c>
      <c r="C22">
        <v>100.0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6" width="8.71"/>
  </cols>
  <sheetData>
    <row r="1">
      <c r="A1" s="1" t="s">
        <v>40</v>
      </c>
    </row>
    <row r="2">
      <c r="A2" t="s">
        <v>41</v>
      </c>
    </row>
    <row r="3">
      <c r="A3" t="str">
        <f>PROPER(A2)</f>
        <v>Kevin Cookie Company</v>
      </c>
    </row>
    <row r="5">
      <c r="A5" s="1" t="s">
        <v>42</v>
      </c>
    </row>
    <row r="6">
      <c r="A6" t="s">
        <v>43</v>
      </c>
    </row>
    <row r="7">
      <c r="A7" t="str">
        <f>TRIM(A6)</f>
        <v>Kevin Cookie Company</v>
      </c>
    </row>
    <row r="9">
      <c r="A9" s="1" t="s">
        <v>44</v>
      </c>
    </row>
    <row r="10">
      <c r="A10" t="s">
        <v>45</v>
      </c>
      <c r="B10" t="s">
        <v>46</v>
      </c>
      <c r="C10" t="s">
        <v>47</v>
      </c>
    </row>
    <row r="11">
      <c r="A11" t="str">
        <f>CONCATENATE(A10:C10)</f>
        <v>KevinCookieCompany</v>
      </c>
      <c r="B11" t="str">
        <f>CONCATENATE(A10," ",B10)</f>
        <v>Kevin Cookie</v>
      </c>
    </row>
    <row r="13">
      <c r="A13" s="1" t="s">
        <v>48</v>
      </c>
    </row>
    <row r="14">
      <c r="A14" t="s">
        <v>45</v>
      </c>
      <c r="B14" t="s">
        <v>46</v>
      </c>
      <c r="C14" t="s">
        <v>47</v>
      </c>
    </row>
    <row r="15">
      <c r="A15" t="str">
        <f>A14&amp;B14&amp;C14</f>
        <v>KevinCookieCompany</v>
      </c>
      <c r="B15" t="str">
        <f>A14&amp;" "&amp;B14&amp;C14</f>
        <v>Kevin CookieCompany</v>
      </c>
    </row>
    <row r="17">
      <c r="A17" s="1" t="s">
        <v>49</v>
      </c>
    </row>
    <row r="18">
      <c r="A18" t="s">
        <v>45</v>
      </c>
      <c r="B18" t="s">
        <v>46</v>
      </c>
      <c r="C18" t="s">
        <v>47</v>
      </c>
    </row>
    <row r="19">
      <c r="A19" t="str">
        <f>TEXTJOIN(" ",true,A18:C18)</f>
        <v>Kevin Cookie Company</v>
      </c>
    </row>
    <row r="21" ht="15.75" customHeight="1">
      <c r="A21" s="1" t="s">
        <v>50</v>
      </c>
    </row>
    <row r="22" ht="15.75" customHeight="1">
      <c r="A22" t="s">
        <v>51</v>
      </c>
    </row>
    <row r="23" ht="15.75" customHeight="1">
      <c r="A23" t="str">
        <f>RIGHT(A22,5)</f>
        <v>05486</v>
      </c>
    </row>
    <row r="24" ht="15.75" customHeight="1">
      <c r="A24" s="1" t="s">
        <v>52</v>
      </c>
    </row>
    <row r="25" ht="15.75" customHeight="1">
      <c r="A25" t="s">
        <v>53</v>
      </c>
    </row>
    <row r="26" ht="15.75" customHeight="1">
      <c r="A26" t="str">
        <f>LEN(A25)</f>
        <v>20</v>
      </c>
    </row>
    <row r="27" ht="15.75" customHeight="1">
      <c r="A27" s="1" t="s">
        <v>54</v>
      </c>
    </row>
    <row r="28" ht="15.75" customHeight="1">
      <c r="A28" s="7" t="s">
        <v>55</v>
      </c>
    </row>
    <row r="29" ht="15.75" customHeight="1">
      <c r="A29" t="str">
        <f>FIND("@",A28)</f>
        <v>4</v>
      </c>
    </row>
    <row r="30" ht="15.75" customHeight="1"/>
    <row r="31" ht="15.75" customHeight="1">
      <c r="A31" s="1" t="s">
        <v>56</v>
      </c>
    </row>
    <row r="32" ht="15.75" customHeight="1">
      <c r="A32" t="str">
        <f>LEFT(A28,find("@",A28)-1)</f>
        <v>sue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A28"/>
  </hyperlinks>
  <printOptions/>
  <pageMargins bottom="0.75" footer="0.0" header="0.0" left="0.7" right="0.7" top="0.75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6.43"/>
    <col customWidth="1" min="3" max="6" width="8.71"/>
  </cols>
  <sheetData>
    <row r="1">
      <c r="A1" s="1" t="s">
        <v>57</v>
      </c>
    </row>
    <row r="2">
      <c r="A2" t="s">
        <v>53</v>
      </c>
      <c r="B2" t="s">
        <v>58</v>
      </c>
      <c r="C2" t="str">
        <f t="shared" ref="C2:C3" si="1">A2=B2</f>
        <v>FALSE</v>
      </c>
    </row>
    <row r="3">
      <c r="A3">
        <v>10.0</v>
      </c>
      <c r="B3">
        <v>5.0</v>
      </c>
      <c r="C3" t="str">
        <f t="shared" si="1"/>
        <v>FALSE</v>
      </c>
    </row>
    <row r="4">
      <c r="B4">
        <v>11.0</v>
      </c>
    </row>
    <row r="8">
      <c r="A8" s="1"/>
    </row>
    <row r="9">
      <c r="A9" s="1" t="s">
        <v>13</v>
      </c>
      <c r="B9" s="1" t="s">
        <v>14</v>
      </c>
      <c r="C9" s="1" t="s">
        <v>59</v>
      </c>
    </row>
    <row r="10">
      <c r="A10" t="s">
        <v>0</v>
      </c>
      <c r="B10">
        <v>97.0</v>
      </c>
      <c r="C10" t="s">
        <v>60</v>
      </c>
    </row>
    <row r="11">
      <c r="A11" t="s">
        <v>1</v>
      </c>
      <c r="B11">
        <v>150.0</v>
      </c>
      <c r="C11" t="str">
        <f>IF(B10&gt;B11,"Chocolate Chip","Oatmeal Raisin")</f>
        <v>Oatmeal Raisin</v>
      </c>
    </row>
    <row r="12">
      <c r="A12" t="s">
        <v>2</v>
      </c>
      <c r="B12">
        <v>150.0</v>
      </c>
    </row>
    <row r="13">
      <c r="C13" s="1" t="s">
        <v>61</v>
      </c>
    </row>
    <row r="14">
      <c r="C14" t="s">
        <v>62</v>
      </c>
    </row>
    <row r="15">
      <c r="C15" t="str">
        <f>IF(AND(B10&gt;B11,B10&gt;B12),"yes","no")</f>
        <v>no</v>
      </c>
    </row>
    <row r="17">
      <c r="C17" s="1" t="s">
        <v>63</v>
      </c>
    </row>
    <row r="18">
      <c r="C18" t="s">
        <v>64</v>
      </c>
    </row>
    <row r="19">
      <c r="C19" t="str">
        <f>IF(or(B10&gt;B11,B10&gt;B12),"yes","no")</f>
        <v>no</v>
      </c>
    </row>
    <row r="21" ht="15.75" customHeight="1">
      <c r="A21" s="1" t="s">
        <v>65</v>
      </c>
      <c r="B21" s="1" t="s">
        <v>66</v>
      </c>
      <c r="C21" s="1" t="s">
        <v>67</v>
      </c>
    </row>
    <row r="22" ht="15.75" customHeight="1">
      <c r="A22" t="s">
        <v>0</v>
      </c>
      <c r="B22">
        <v>10.0</v>
      </c>
      <c r="C22" t="s">
        <v>68</v>
      </c>
      <c r="E22" s="1" t="s">
        <v>2</v>
      </c>
    </row>
    <row r="23" ht="15.75" customHeight="1">
      <c r="A23" t="s">
        <v>1</v>
      </c>
      <c r="B23">
        <v>8.0</v>
      </c>
      <c r="C23" t="str">
        <f>IF(E22=A24,B24,IF(E22=A23,B23,IF(E22=A22,B22),"unknown"))</f>
        <v>5</v>
      </c>
    </row>
    <row r="24" ht="15.75" customHeight="1">
      <c r="A24" t="s">
        <v>2</v>
      </c>
      <c r="B24">
        <v>5.0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71"/>
    <col customWidth="1" min="3" max="3" width="11.57"/>
    <col customWidth="1" min="4" max="4" width="3.57"/>
    <col customWidth="1" min="5" max="5" width="19.0"/>
    <col customWidth="1" min="6" max="6" width="8.71"/>
  </cols>
  <sheetData>
    <row r="1">
      <c r="A1" s="1" t="s">
        <v>65</v>
      </c>
      <c r="B1" s="1" t="s">
        <v>66</v>
      </c>
      <c r="C1" s="1" t="s">
        <v>6</v>
      </c>
      <c r="D1" s="1"/>
      <c r="E1" s="1" t="s">
        <v>69</v>
      </c>
    </row>
    <row r="2">
      <c r="A2" t="s">
        <v>0</v>
      </c>
      <c r="B2">
        <v>10.0</v>
      </c>
      <c r="C2">
        <v>4.0</v>
      </c>
      <c r="E2" t="s">
        <v>68</v>
      </c>
      <c r="F2" t="s">
        <v>2</v>
      </c>
    </row>
    <row r="3">
      <c r="A3" t="s">
        <v>1</v>
      </c>
      <c r="B3">
        <v>8.0</v>
      </c>
      <c r="C3">
        <v>3.0</v>
      </c>
      <c r="E3" t="str">
        <f>VLOOKUP(F2,A1:C4,2,false)</f>
        <v>5</v>
      </c>
    </row>
    <row r="4">
      <c r="A4" t="s">
        <v>2</v>
      </c>
      <c r="B4">
        <v>5.0</v>
      </c>
      <c r="C4">
        <v>2.0</v>
      </c>
    </row>
    <row r="5">
      <c r="E5" s="1" t="s">
        <v>70</v>
      </c>
    </row>
    <row r="6">
      <c r="E6" t="s">
        <v>68</v>
      </c>
      <c r="F6" t="s">
        <v>0</v>
      </c>
    </row>
    <row r="7">
      <c r="E7" t="str">
        <f t="array" ref="E7">XLOOKUP(F6,)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6" width="8.71"/>
  </cols>
  <sheetData>
    <row r="1">
      <c r="A1" s="1" t="s">
        <v>71</v>
      </c>
    </row>
    <row r="2">
      <c r="A2" s="8" t="str">
        <f>today()</f>
        <v>3/6/2026</v>
      </c>
    </row>
    <row r="4">
      <c r="A4" s="1" t="s">
        <v>72</v>
      </c>
    </row>
    <row r="5">
      <c r="A5" s="9" t="str">
        <f>now()</f>
        <v>3/6/26 6:02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t="str">
        <f>5+4</f>
        <v>9</v>
      </c>
      <c r="B1">
        <v>1.0</v>
      </c>
    </row>
    <row r="2">
      <c r="A2" t="str">
        <f>8-2</f>
        <v>6</v>
      </c>
      <c r="B2">
        <v>3.0</v>
      </c>
    </row>
    <row r="3">
      <c r="A3" t="str">
        <f>A2+B2</f>
        <v>9</v>
      </c>
      <c r="B3" t="str">
        <f>4+2</f>
        <v>6</v>
      </c>
    </row>
    <row r="4">
      <c r="A4">
        <v>3.0</v>
      </c>
      <c r="B4" t="str">
        <f>B3+A3</f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2022-05-10T22:30:35Z</dcterms:created>
  <dc:creator>Kevin Stratvert</dc:creator>
  <dc:description/>
  <cp:keywords/>
  <cp:lastModifiedBy>Kevin Stratvert</cp:lastModifiedBy>
  <dcterms:modified xsi:type="dcterms:W3CDTF">2026-03-05T05:45:37Z</dcterms:modified>
  <cp:revision/>
  <dc:subject/>
  <dc:title/>
</cp:coreProperties>
</file>