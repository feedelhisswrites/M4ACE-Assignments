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7784D983-E37E-4737-B26E-1EF999A1CF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E77" i="1" l="1"/>
  <c r="F77" i="1"/>
  <c r="E76" i="1"/>
  <c r="F76" i="1"/>
  <c r="E75" i="1"/>
  <c r="F75" i="1"/>
  <c r="E74" i="1"/>
  <c r="F74" i="1"/>
  <c r="E73" i="1"/>
  <c r="F73" i="1"/>
  <c r="D77" i="1"/>
  <c r="D76" i="1"/>
  <c r="D75" i="1"/>
  <c r="D74" i="1"/>
  <c r="D73" i="1"/>
  <c r="F72" i="1"/>
  <c r="E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l="1"/>
</calcChain>
</file>

<file path=xl/sharedStrings.xml><?xml version="1.0" encoding="utf-8"?>
<sst xmlns="http://schemas.openxmlformats.org/spreadsheetml/2006/main" count="84" uniqueCount="83">
  <si>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</si>
  <si>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</si>
  <si>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</si>
  <si>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</si>
  <si>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</si>
  <si>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</si>
  <si>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</si>
  <si>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</si>
  <si>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</si>
  <si>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</si>
  <si>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</si>
  <si>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</si>
  <si>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</si>
  <si>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</si>
  <si>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</si>
  <si>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</si>
  <si>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</si>
  <si>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</si>
  <si>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</si>
  <si>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</si>
  <si>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</si>
  <si>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</si>
  <si>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</si>
  <si>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</si>
  <si>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</si>
  <si>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</si>
  <si>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</si>
  <si>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</si>
  <si>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</si>
  <si>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</si>
  <si>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</si>
  <si>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</si>
  <si>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</si>
  <si>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</si>
  <si>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</si>
  <si>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</si>
  <si>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</si>
  <si>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</si>
  <si>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</si>
  <si>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</si>
  <si>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</si>
  <si>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</si>
  <si>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</si>
  <si>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</si>
  <si>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</si>
  <si>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</si>
  <si>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</si>
  <si>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</si>
  <si>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</si>
  <si>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</si>
  <si>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</si>
  <si>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</si>
  <si>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</si>
  <si>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</si>
  <si>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</si>
  <si>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</si>
  <si>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</si>
  <si>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</si>
  <si>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</si>
  <si>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</si>
  <si>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</si>
  <si>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</si>
  <si>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</si>
  <si>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</si>
  <si>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</si>
  <si>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</si>
  <si>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</si>
  <si>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</si>
  <si>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</si>
  <si>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</si>
  <si>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</si>
  <si>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</si>
  <si>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</si>
  <si>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</si>
  <si>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</si>
  <si>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</si>
  <si>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</si>
  <si>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Fidelis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</si>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</sst>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8">
    <dxf>
      <font>
        <b/>
        <i val="0"/>
        <color rgb="FF002060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08-4B82-BCC0-CFE733979774}"/>
            </c:ext>
          </c:extLst>
        </c:ser>
        <c:ser>
          <c:idx val="1"/>
          <c:order val="1"/>
          <c:tx>
            <c:v>Hours Worked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08-4B82-BCC0-CFE733979774}"/>
            </c:ext>
          </c:extLst>
        </c:ser>
        <c:ser>
          <c:idx val="2"/>
          <c:order val="2"/>
          <c:tx>
            <c:v> Taxable Income 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08-4B82-BCC0-CFE733979774}"/>
            </c:ext>
          </c:extLst>
        </c:ser>
        <c:ser>
          <c:idx val="3"/>
          <c:order val="3"/>
          <c:tx>
            <c:v> Taxes to Be Paid 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308-4B82-BCC0-CFE73397977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08-4B82-BCC0-CFE733979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171450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Z1001"/>
  <sheetViews>
    <sheetView tabSelected="1" workbookViewId="0">
      <selection activeCell="F2" sqref="F2:F72"/>
    </sheetView>
  </sheetViews>
  <sheetFormatPr defaultColWidth="14.42578125" defaultRowHeight="15" customHeight="1"/>
  <cols>
    <col min="1" max="1" width="10.5703125" customWidth="1"/>
    <col min="2" max="2" width="8.42578125" style="6" customWidth="1"/>
    <col min="3" max="3" width="10.85546875" style="7" customWidth="1"/>
    <col min="4" max="4" width="12.140625" customWidth="1"/>
    <col min="5" max="5" width="13.140625" style="8" customWidth="1"/>
    <col min="6" max="6" width="13.42578125" style="8" customWidth="1"/>
    <col min="7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>
        <v>1</v>
      </c>
      <c r="B2" s="6" t="s">
        <v>8</v>
      </c>
      <c r="C2" s="7">
        <v>14.25</v>
      </c>
      <c r="D2" s="5">
        <v>158</v>
      </c>
      <c r="E2" s="8">
        <f t="shared" ref="E2:E72" si="0">C2*D2</f>
        <v>2251.5</v>
      </c>
      <c r="F2" s="8">
        <f t="shared" ref="F2:F72" si="1">E2*$H$1</f>
        <v>157.60500000000002</v>
      </c>
    </row>
    <row r="3" spans="1:26" ht="14.25" customHeight="1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>
      <c r="A72" s="5">
        <v>71</v>
      </c>
      <c r="B72" s="6" t="s">
        <v>77</v>
      </c>
      <c r="C72" s="7">
        <v>22</v>
      </c>
      <c r="D72" s="5">
        <v>157</v>
      </c>
      <c r="E72" s="8">
        <f t="shared" si="0"/>
        <v>3454</v>
      </c>
      <c r="F72" s="8">
        <f t="shared" si="1"/>
        <v>241.78000000000003</v>
      </c>
    </row>
    <row r="73" spans="1:6" ht="14.25" customHeight="1">
      <c r="C73" s="11" t="s">
        <v>78</v>
      </c>
      <c r="D73" s="5">
        <f>SUM(D2:D72)</f>
        <v>9524</v>
      </c>
      <c r="E73" s="5">
        <f t="shared" ref="E73:F73" si="2">SUM(E2:E72)</f>
        <v>146248.5</v>
      </c>
      <c r="F73" s="5">
        <f t="shared" si="2"/>
        <v>10237.395000000004</v>
      </c>
    </row>
    <row r="74" spans="1:6" ht="14.25" customHeight="1">
      <c r="C74" s="11" t="s">
        <v>79</v>
      </c>
      <c r="D74" s="5">
        <f>AVERAGE(D2:D72)</f>
        <v>134.14084507042253</v>
      </c>
      <c r="E74" s="5">
        <f t="shared" ref="E74:F74" si="3">AVERAGE(E2:E72)</f>
        <v>2059.8380281690143</v>
      </c>
      <c r="F74" s="5">
        <f t="shared" si="3"/>
        <v>144.18866197183104</v>
      </c>
    </row>
    <row r="75" spans="1:6" ht="14.25" customHeight="1">
      <c r="C75" s="11" t="s">
        <v>80</v>
      </c>
      <c r="D75" s="5">
        <f>MAX(D2:D72)</f>
        <v>208</v>
      </c>
      <c r="E75" s="5">
        <f t="shared" ref="E75:F75" si="4">MAX(E2:E72)</f>
        <v>6368</v>
      </c>
      <c r="F75" s="5">
        <f t="shared" si="4"/>
        <v>445.76000000000005</v>
      </c>
    </row>
    <row r="76" spans="1:6" ht="14.25" customHeight="1">
      <c r="C76" s="11" t="s">
        <v>81</v>
      </c>
      <c r="D76" s="5">
        <f>MIN(D2:D72)</f>
        <v>69</v>
      </c>
      <c r="E76" s="5">
        <f t="shared" ref="E76:F76" si="5">MIN(E2:E72)</f>
        <v>836</v>
      </c>
      <c r="F76" s="5">
        <f t="shared" si="5"/>
        <v>58.52</v>
      </c>
    </row>
    <row r="77" spans="1:6" ht="14.25" customHeight="1">
      <c r="C77" s="11" t="s">
        <v>82</v>
      </c>
      <c r="D77" s="5">
        <f>COUNT(D2:D72)</f>
        <v>71</v>
      </c>
      <c r="E77" s="5">
        <f t="shared" ref="E77:F77" si="6">COUNT(E2:E72)</f>
        <v>71</v>
      </c>
      <c r="F77" s="5">
        <f t="shared" si="6"/>
        <v>71</v>
      </c>
    </row>
    <row r="78" spans="1:6" ht="14.25" customHeight="1"/>
    <row r="79" spans="1:6" ht="14.25" customHeight="1"/>
    <row r="80" spans="1: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onditionalFormatting sqref="E2:E72">
    <cfRule type="expression" dxfId="7" priority="8">
      <formula>E2&lt;500</formula>
    </cfRule>
  </conditionalFormatting>
  <conditionalFormatting sqref="E2:E72">
    <cfRule type="expression" dxfId="6" priority="7">
      <formula>AND(E2&gt;=500, E2&lt;1000)</formula>
    </cfRule>
  </conditionalFormatting>
  <conditionalFormatting sqref="E2:E72">
    <cfRule type="expression" dxfId="5" priority="6">
      <formula>AND(E2&gt;=1000, E2&lt;2000)</formula>
    </cfRule>
  </conditionalFormatting>
  <conditionalFormatting sqref="E2:E72">
    <cfRule type="expression" dxfId="4" priority="5">
      <formula>E2&gt;=2000</formula>
    </cfRule>
  </conditionalFormatting>
  <conditionalFormatting sqref="F2:F72">
    <cfRule type="expression" dxfId="3" priority="4">
      <formula>F2&lt;100</formula>
    </cfRule>
  </conditionalFormatting>
  <conditionalFormatting sqref="F2:F72">
    <cfRule type="expression" dxfId="2" priority="3">
      <formula>AND(F2&gt;=100, F2&lt;150)</formula>
    </cfRule>
  </conditionalFormatting>
  <conditionalFormatting sqref="F2:F72">
    <cfRule type="expression" dxfId="1" priority="2">
      <formula>AND(F2&gt;=150, F2&lt;200)</formula>
    </cfRule>
  </conditionalFormatting>
  <conditionalFormatting sqref="F2:F72">
    <cfRule type="expression" dxfId="0" priority="1">
      <formula>F2&gt;=200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2022-07-03T02:12:21Z</dcterms:created>
  <dcterms:modified xsi:type="dcterms:W3CDTF">2026-02-19T21:48:54Z</dcterms:modified>
  <cp:category/>
  <cp:contentStatus/>
</cp:coreProperties>
</file>